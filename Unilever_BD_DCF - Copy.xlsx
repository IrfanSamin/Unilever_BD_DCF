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gital Outlet\Downloads\"/>
    </mc:Choice>
  </mc:AlternateContent>
  <xr:revisionPtr revIDLastSave="0" documentId="13_ncr:1_{07C62ED7-BE20-4766-9B0A-F3A676D7FE7E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Assumptions" sheetId="1" r:id="rId1"/>
    <sheet name="DCF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" i="2" l="1"/>
  <c r="G16" i="2"/>
  <c r="F16" i="2"/>
  <c r="E16" i="2"/>
  <c r="D16" i="2"/>
  <c r="C13" i="2"/>
  <c r="C12" i="2"/>
  <c r="D7" i="2"/>
  <c r="D11" i="2" s="1"/>
  <c r="C7" i="2"/>
  <c r="C11" i="2" s="1"/>
  <c r="D6" i="2"/>
  <c r="D8" i="2" s="1"/>
  <c r="C6" i="2"/>
  <c r="C8" i="2" s="1"/>
  <c r="D5" i="2"/>
  <c r="D13" i="2" s="1"/>
  <c r="C25" i="1"/>
  <c r="C24" i="1"/>
  <c r="C26" i="1" s="1"/>
  <c r="C9" i="2" l="1"/>
  <c r="C10" i="2" s="1"/>
  <c r="C14" i="2" s="1"/>
  <c r="D9" i="2"/>
  <c r="D10" i="2"/>
  <c r="D14" i="2" s="1"/>
  <c r="D17" i="2" s="1"/>
  <c r="E5" i="2"/>
  <c r="D12" i="2"/>
  <c r="E12" i="2" l="1"/>
  <c r="F5" i="2"/>
  <c r="E6" i="2"/>
  <c r="E7" i="2"/>
  <c r="E11" i="2" s="1"/>
  <c r="E13" i="2"/>
  <c r="E8" i="2" l="1"/>
  <c r="F6" i="2"/>
  <c r="F12" i="2"/>
  <c r="G5" i="2"/>
  <c r="F13" i="2"/>
  <c r="F7" i="2"/>
  <c r="F11" i="2" s="1"/>
  <c r="F8" i="2" l="1"/>
  <c r="H5" i="2"/>
  <c r="G13" i="2"/>
  <c r="G6" i="2"/>
  <c r="G7" i="2"/>
  <c r="G11" i="2" s="1"/>
  <c r="G12" i="2"/>
  <c r="E9" i="2"/>
  <c r="E10" i="2"/>
  <c r="E14" i="2" s="1"/>
  <c r="E17" i="2" s="1"/>
  <c r="F9" i="2" l="1"/>
  <c r="F10" i="2" s="1"/>
  <c r="F14" i="2" s="1"/>
  <c r="F17" i="2" s="1"/>
  <c r="G8" i="2"/>
  <c r="H7" i="2"/>
  <c r="H11" i="2" s="1"/>
  <c r="H12" i="2"/>
  <c r="H13" i="2"/>
  <c r="H6" i="2"/>
  <c r="H8" i="2" s="1"/>
  <c r="H9" i="2" l="1"/>
  <c r="H10" i="2"/>
  <c r="H14" i="2" s="1"/>
  <c r="G9" i="2"/>
  <c r="G10" i="2"/>
  <c r="G14" i="2" s="1"/>
  <c r="G17" i="2" s="1"/>
  <c r="C22" i="2" l="1"/>
  <c r="C23" i="2" s="1"/>
  <c r="H17" i="2"/>
  <c r="C21" i="2" s="1"/>
  <c r="C24" i="2" s="1"/>
</calcChain>
</file>

<file path=xl/sharedStrings.xml><?xml version="1.0" encoding="utf-8"?>
<sst xmlns="http://schemas.openxmlformats.org/spreadsheetml/2006/main" count="50" uniqueCount="50">
  <si>
    <t>Assumptions</t>
  </si>
  <si>
    <t>Input</t>
  </si>
  <si>
    <t>Value</t>
  </si>
  <si>
    <t>Revenue growth rate (Yr 1)</t>
  </si>
  <si>
    <t>Revenue growth rate (Yr 2)</t>
  </si>
  <si>
    <t>Revenue growth rate (Yr 3)</t>
  </si>
  <si>
    <t>Revenue growth rate (Yr 4)</t>
  </si>
  <si>
    <t>Revenue growth rate (Yr 5)</t>
  </si>
  <si>
    <t>EBITDA margin</t>
  </si>
  <si>
    <t>Tax rate</t>
  </si>
  <si>
    <t>D&amp;A (% of revenue)</t>
  </si>
  <si>
    <t>CapEx (% of revenue)</t>
  </si>
  <si>
    <t>Change in NWC (% of revenue)</t>
  </si>
  <si>
    <t>Risk-free rate</t>
  </si>
  <si>
    <t>Equity risk premium</t>
  </si>
  <si>
    <t>Beta</t>
  </si>
  <si>
    <t>Cost of debt (pre-tax)</t>
  </si>
  <si>
    <t>Debt / Total Capital</t>
  </si>
  <si>
    <t>Terminal growth rate</t>
  </si>
  <si>
    <t>Cost of Equity (CAPM)</t>
  </si>
  <si>
    <t>Cost of Debt (after-tax)</t>
  </si>
  <si>
    <t>WACC</t>
  </si>
  <si>
    <t>DCF — Revenue Build &amp; Free Cash Flow</t>
  </si>
  <si>
    <t>($ mm)</t>
  </si>
  <si>
    <t>2025A</t>
  </si>
  <si>
    <t>2026E</t>
  </si>
  <si>
    <t>2027E</t>
  </si>
  <si>
    <t>2028E</t>
  </si>
  <si>
    <t>2029E</t>
  </si>
  <si>
    <t>2030E</t>
  </si>
  <si>
    <t>Revenue</t>
  </si>
  <si>
    <t>EBITDA</t>
  </si>
  <si>
    <t>Less: D&amp;A</t>
  </si>
  <si>
    <t>EBIT</t>
  </si>
  <si>
    <t>Less: Tax on EBIT</t>
  </si>
  <si>
    <t>NOPAT</t>
  </si>
  <si>
    <t>Add back: D&amp;A</t>
  </si>
  <si>
    <t>Less: CapEx</t>
  </si>
  <si>
    <t>Less: Change in NWC</t>
  </si>
  <si>
    <t>Unlevered Free Cash Flow</t>
  </si>
  <si>
    <t>Discount period</t>
  </si>
  <si>
    <t>Discount factor</t>
  </si>
  <si>
    <t>PV of FCF</t>
  </si>
  <si>
    <t>Valuation Summary</t>
  </si>
  <si>
    <t>Sum of PV of FCF (Yr 1-5)</t>
  </si>
  <si>
    <t>Terminal Value (Gordon Growth)</t>
  </si>
  <si>
    <t>PV of Terminal Value</t>
  </si>
  <si>
    <t>Enterprise Value</t>
  </si>
  <si>
    <t>Uniliver BD-DCF Valuation</t>
  </si>
  <si>
    <t>Source: placeholder figures replace with Unilever Bangladesh annual report / DSE filing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</si>
</sst>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"/>
    <numFmt numFmtId="166" formatCode="\$#,##0;&quot;($&quot;#,##0\)"/>
    <numFmt numFmtId="167" formatCode="0.000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1"/>
      <color theme="1"/>
      <name val="Calibri"/>
      <family val="2"/>
    </font>
    <font>
      <b/>
      <sz val="14"/>
      <name val="Arial"/>
      <family val="2"/>
    </font>
    <font>
      <b/>
      <sz val="14"/>
      <color theme="1"/>
      <name val="Calibri"/>
      <family val="2"/>
    </font>
    <font>
      <b/>
      <i/>
      <sz val="8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333333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030A0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3" fillId="0" borderId="0" xfId="0" applyNumberFormat="1" applyFont="1"/>
    <xf numFmtId="167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165" fontId="9" fillId="3" borderId="0" xfId="0" applyNumberFormat="1" applyFont="1" applyFill="1"/>
    <xf numFmtId="0" fontId="8" fillId="4" borderId="0" xfId="0" applyFont="1" applyFill="1"/>
    <xf numFmtId="0" fontId="3" fillId="5" borderId="0" xfId="0" applyFont="1" applyFill="1"/>
    <xf numFmtId="165" fontId="3" fillId="5" borderId="0" xfId="0" applyNumberFormat="1" applyFont="1" applyFill="1"/>
    <xf numFmtId="0" fontId="2" fillId="6" borderId="0" xfId="0" applyFont="1" applyFill="1"/>
    <xf numFmtId="164" fontId="9" fillId="3" borderId="1" xfId="0" applyNumberFormat="1" applyFont="1" applyFill="1" applyBorder="1"/>
    <xf numFmtId="2" fontId="9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6"/>
  <sheetViews>
    <sheetView topLeftCell="A16" zoomScaleNormal="100" workbookViewId="0">
      <selection activeCell="C24" sqref="C24"/>
    </sheetView>
  </sheetViews>
  <sheetFormatPr defaultColWidth="8.6328125" defaultRowHeight="14.5" x14ac:dyDescent="0.35"/>
  <cols>
    <col min="2" max="2" width="33.1796875" customWidth="1"/>
    <col min="3" max="3" width="14" customWidth="1"/>
  </cols>
  <sheetData>
    <row r="1" spans="2:3" x14ac:dyDescent="0.35">
      <c r="B1" s="9"/>
    </row>
    <row r="2" spans="2:3" ht="17.25" customHeight="1" x14ac:dyDescent="0.4">
      <c r="B2" s="10" t="s">
        <v>48</v>
      </c>
    </row>
    <row r="3" spans="2:3" ht="18.5" x14ac:dyDescent="0.45">
      <c r="B3" s="11" t="s">
        <v>0</v>
      </c>
    </row>
    <row r="4" spans="2:3" ht="15" customHeight="1" x14ac:dyDescent="0.35">
      <c r="B4" s="17" t="s">
        <v>1</v>
      </c>
      <c r="C4" s="17" t="s">
        <v>2</v>
      </c>
    </row>
    <row r="5" spans="2:3" ht="15" customHeight="1" x14ac:dyDescent="0.35">
      <c r="B5" s="2" t="s">
        <v>3</v>
      </c>
      <c r="C5" s="18">
        <v>0.1</v>
      </c>
    </row>
    <row r="6" spans="2:3" ht="15" customHeight="1" x14ac:dyDescent="0.35">
      <c r="B6" s="2" t="s">
        <v>4</v>
      </c>
      <c r="C6" s="18">
        <v>0.09</v>
      </c>
    </row>
    <row r="7" spans="2:3" ht="15" customHeight="1" x14ac:dyDescent="0.35">
      <c r="B7" s="2" t="s">
        <v>5</v>
      </c>
      <c r="C7" s="18">
        <v>0.08</v>
      </c>
    </row>
    <row r="8" spans="2:3" ht="15" customHeight="1" x14ac:dyDescent="0.35">
      <c r="B8" s="2" t="s">
        <v>6</v>
      </c>
      <c r="C8" s="18">
        <v>7.0000000000000007E-2</v>
      </c>
    </row>
    <row r="9" spans="2:3" ht="15" customHeight="1" x14ac:dyDescent="0.35">
      <c r="B9" s="2" t="s">
        <v>7</v>
      </c>
      <c r="C9" s="18">
        <v>0.06</v>
      </c>
    </row>
    <row r="10" spans="2:3" ht="15" customHeight="1" x14ac:dyDescent="0.35">
      <c r="B10" s="2" t="s">
        <v>8</v>
      </c>
      <c r="C10" s="18">
        <v>0.18</v>
      </c>
    </row>
    <row r="11" spans="2:3" ht="15" customHeight="1" x14ac:dyDescent="0.35">
      <c r="B11" s="2" t="s">
        <v>9</v>
      </c>
      <c r="C11" s="18">
        <v>0.27500000000000002</v>
      </c>
    </row>
    <row r="12" spans="2:3" ht="15" customHeight="1" x14ac:dyDescent="0.35">
      <c r="B12" s="2" t="s">
        <v>10</v>
      </c>
      <c r="C12" s="18">
        <v>0.03</v>
      </c>
    </row>
    <row r="13" spans="2:3" ht="15" customHeight="1" x14ac:dyDescent="0.35">
      <c r="B13" s="2" t="s">
        <v>11</v>
      </c>
      <c r="C13" s="18">
        <v>3.5000000000000003E-2</v>
      </c>
    </row>
    <row r="14" spans="2:3" ht="15" customHeight="1" x14ac:dyDescent="0.35">
      <c r="B14" s="2" t="s">
        <v>12</v>
      </c>
      <c r="C14" s="18">
        <v>0.01</v>
      </c>
    </row>
    <row r="15" spans="2:3" ht="15" customHeight="1" x14ac:dyDescent="0.35">
      <c r="B15" s="2" t="s">
        <v>13</v>
      </c>
      <c r="C15" s="18">
        <v>0.11</v>
      </c>
    </row>
    <row r="16" spans="2:3" ht="15" customHeight="1" x14ac:dyDescent="0.35">
      <c r="B16" s="2" t="s">
        <v>14</v>
      </c>
      <c r="C16" s="18">
        <v>0.06</v>
      </c>
    </row>
    <row r="17" spans="2:5" ht="15" customHeight="1" x14ac:dyDescent="0.35">
      <c r="B17" s="2" t="s">
        <v>15</v>
      </c>
      <c r="C17" s="19">
        <v>0.85</v>
      </c>
    </row>
    <row r="18" spans="2:5" ht="15" customHeight="1" x14ac:dyDescent="0.35">
      <c r="B18" s="2" t="s">
        <v>16</v>
      </c>
      <c r="C18" s="18">
        <v>0.09</v>
      </c>
    </row>
    <row r="19" spans="2:5" ht="15" customHeight="1" x14ac:dyDescent="0.35">
      <c r="B19" s="2" t="s">
        <v>17</v>
      </c>
      <c r="C19" s="18">
        <v>0.1</v>
      </c>
    </row>
    <row r="20" spans="2:5" ht="15" customHeight="1" x14ac:dyDescent="0.35">
      <c r="B20" s="2" t="s">
        <v>18</v>
      </c>
      <c r="C20" s="18">
        <v>0.05</v>
      </c>
    </row>
    <row r="22" spans="2:5" ht="15" customHeight="1" x14ac:dyDescent="0.35">
      <c r="B22" s="12" t="s">
        <v>49</v>
      </c>
      <c r="C22" s="12"/>
      <c r="D22" s="12"/>
      <c r="E22" s="12"/>
    </row>
    <row r="24" spans="2:5" ht="15" customHeight="1" x14ac:dyDescent="0.35">
      <c r="B24" s="3" t="s">
        <v>19</v>
      </c>
      <c r="C24" s="4">
        <f>C15+C17*C16</f>
        <v>0.161</v>
      </c>
    </row>
    <row r="25" spans="2:5" ht="15" customHeight="1" x14ac:dyDescent="0.35">
      <c r="B25" s="3" t="s">
        <v>20</v>
      </c>
      <c r="C25" s="4">
        <f>C18*(1-C11)</f>
        <v>6.5250000000000002E-2</v>
      </c>
    </row>
    <row r="26" spans="2:5" ht="15" customHeight="1" x14ac:dyDescent="0.35">
      <c r="B26" s="3" t="s">
        <v>21</v>
      </c>
      <c r="C26" s="4">
        <f>C24*(1-C19)+C25*C19</f>
        <v>0.151425</v>
      </c>
    </row>
  </sheetData>
  <mergeCells count="1">
    <mergeCell ref="B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4"/>
  <sheetViews>
    <sheetView tabSelected="1" topLeftCell="A13" zoomScaleNormal="100" workbookViewId="0">
      <selection activeCell="M21" sqref="M21"/>
    </sheetView>
  </sheetViews>
  <sheetFormatPr defaultColWidth="8.6328125" defaultRowHeight="14.5" x14ac:dyDescent="0.35"/>
  <cols>
    <col min="2" max="2" width="28" customWidth="1"/>
    <col min="3" max="8" width="12" customWidth="1"/>
  </cols>
  <sheetData>
    <row r="2" spans="2:8" ht="17.25" customHeight="1" x14ac:dyDescent="0.4">
      <c r="B2" s="1" t="s">
        <v>22</v>
      </c>
    </row>
    <row r="4" spans="2:8" ht="15" customHeight="1" x14ac:dyDescent="0.35">
      <c r="B4" s="14" t="s">
        <v>23</v>
      </c>
      <c r="C4" s="14" t="s">
        <v>24</v>
      </c>
      <c r="D4" s="14" t="s">
        <v>25</v>
      </c>
      <c r="E4" s="14" t="s">
        <v>26</v>
      </c>
      <c r="F4" s="14" t="s">
        <v>27</v>
      </c>
      <c r="G4" s="14" t="s">
        <v>28</v>
      </c>
      <c r="H4" s="14" t="s">
        <v>29</v>
      </c>
    </row>
    <row r="5" spans="2:8" ht="15" customHeight="1" x14ac:dyDescent="0.35">
      <c r="B5" t="s">
        <v>30</v>
      </c>
      <c r="C5" s="13">
        <v>2000</v>
      </c>
      <c r="D5" s="5">
        <f>C5*(1+Assumptions!C5)</f>
        <v>2200</v>
      </c>
      <c r="E5" s="5">
        <f>D5*(1+Assumptions!C6)</f>
        <v>2398</v>
      </c>
      <c r="F5" s="5">
        <f>E5*(1+Assumptions!C7)</f>
        <v>2589.84</v>
      </c>
      <c r="G5" s="5">
        <f>F5*(1+Assumptions!C8)</f>
        <v>2771.1288000000004</v>
      </c>
      <c r="H5" s="5">
        <f>G5*(1+Assumptions!C9)</f>
        <v>2937.3965280000007</v>
      </c>
    </row>
    <row r="6" spans="2:8" ht="15" customHeight="1" x14ac:dyDescent="0.35">
      <c r="B6" t="s">
        <v>31</v>
      </c>
      <c r="C6" s="5">
        <f>C5*Assumptions!$C$10</f>
        <v>360</v>
      </c>
      <c r="D6" s="5">
        <f>D5*Assumptions!$C$10</f>
        <v>396</v>
      </c>
      <c r="E6" s="5">
        <f>E5*Assumptions!$C$10</f>
        <v>431.64</v>
      </c>
      <c r="F6" s="5">
        <f>F5*Assumptions!$C$10</f>
        <v>466.1712</v>
      </c>
      <c r="G6" s="5">
        <f>G5*Assumptions!$C$10</f>
        <v>498.80318400000004</v>
      </c>
      <c r="H6" s="5">
        <f>H5*Assumptions!$C$10</f>
        <v>528.7313750400001</v>
      </c>
    </row>
    <row r="7" spans="2:8" ht="15" customHeight="1" x14ac:dyDescent="0.35">
      <c r="B7" t="s">
        <v>32</v>
      </c>
      <c r="C7" s="6">
        <f>-C5*Assumptions!$C$12</f>
        <v>-60</v>
      </c>
      <c r="D7" s="6">
        <f>-D5*Assumptions!$C$12</f>
        <v>-66</v>
      </c>
      <c r="E7" s="6">
        <f>-E5*Assumptions!$C$12</f>
        <v>-71.94</v>
      </c>
      <c r="F7" s="6">
        <f>-F5*Assumptions!$C$12</f>
        <v>-77.6952</v>
      </c>
      <c r="G7" s="6">
        <f>-G5*Assumptions!$C$12</f>
        <v>-83.133864000000003</v>
      </c>
      <c r="H7" s="6">
        <f>-H5*Assumptions!$C$12</f>
        <v>-88.121895840000022</v>
      </c>
    </row>
    <row r="8" spans="2:8" ht="15" customHeight="1" x14ac:dyDescent="0.35">
      <c r="B8" t="s">
        <v>33</v>
      </c>
      <c r="C8" s="5">
        <f t="shared" ref="C8:H8" si="0">C6+C7</f>
        <v>300</v>
      </c>
      <c r="D8" s="5">
        <f t="shared" si="0"/>
        <v>330</v>
      </c>
      <c r="E8" s="5">
        <f t="shared" si="0"/>
        <v>359.7</v>
      </c>
      <c r="F8" s="5">
        <f t="shared" si="0"/>
        <v>388.476</v>
      </c>
      <c r="G8" s="5">
        <f t="shared" si="0"/>
        <v>415.66932000000003</v>
      </c>
      <c r="H8" s="5">
        <f t="shared" si="0"/>
        <v>440.60947920000007</v>
      </c>
    </row>
    <row r="9" spans="2:8" ht="15" customHeight="1" x14ac:dyDescent="0.35">
      <c r="B9" t="s">
        <v>34</v>
      </c>
      <c r="C9" s="6">
        <f>-C8*Assumptions!$C$11</f>
        <v>-82.5</v>
      </c>
      <c r="D9" s="6">
        <f>-D8*Assumptions!$C$11</f>
        <v>-90.750000000000014</v>
      </c>
      <c r="E9" s="6">
        <f>-E8*Assumptions!$C$11</f>
        <v>-98.917500000000004</v>
      </c>
      <c r="F9" s="6">
        <f>-F8*Assumptions!$C$11</f>
        <v>-106.83090000000001</v>
      </c>
      <c r="G9" s="6">
        <f>-G8*Assumptions!$C$11</f>
        <v>-114.30906300000002</v>
      </c>
      <c r="H9" s="6">
        <f>-H8*Assumptions!$C$11</f>
        <v>-121.16760678000003</v>
      </c>
    </row>
    <row r="10" spans="2:8" ht="15" customHeight="1" x14ac:dyDescent="0.35">
      <c r="B10" t="s">
        <v>35</v>
      </c>
      <c r="C10" s="5">
        <f t="shared" ref="C10:H10" si="1">C8+C9</f>
        <v>217.5</v>
      </c>
      <c r="D10" s="5">
        <f t="shared" si="1"/>
        <v>239.25</v>
      </c>
      <c r="E10" s="5">
        <f t="shared" si="1"/>
        <v>260.78249999999997</v>
      </c>
      <c r="F10" s="5">
        <f t="shared" si="1"/>
        <v>281.64509999999996</v>
      </c>
      <c r="G10" s="5">
        <f t="shared" si="1"/>
        <v>301.36025699999999</v>
      </c>
      <c r="H10" s="5">
        <f t="shared" si="1"/>
        <v>319.44187242000004</v>
      </c>
    </row>
    <row r="11" spans="2:8" ht="15" customHeight="1" x14ac:dyDescent="0.35">
      <c r="B11" t="s">
        <v>36</v>
      </c>
      <c r="C11" s="5">
        <f t="shared" ref="C11:H11" si="2">-C7</f>
        <v>60</v>
      </c>
      <c r="D11" s="5">
        <f t="shared" si="2"/>
        <v>66</v>
      </c>
      <c r="E11" s="5">
        <f t="shared" si="2"/>
        <v>71.94</v>
      </c>
      <c r="F11" s="5">
        <f t="shared" si="2"/>
        <v>77.6952</v>
      </c>
      <c r="G11" s="5">
        <f t="shared" si="2"/>
        <v>83.133864000000003</v>
      </c>
      <c r="H11" s="5">
        <f t="shared" si="2"/>
        <v>88.121895840000022</v>
      </c>
    </row>
    <row r="12" spans="2:8" ht="15" customHeight="1" x14ac:dyDescent="0.35">
      <c r="B12" t="s">
        <v>37</v>
      </c>
      <c r="C12" s="6">
        <f>-C5*Assumptions!$C$13</f>
        <v>-70</v>
      </c>
      <c r="D12" s="6">
        <f>-D5*Assumptions!$C$13</f>
        <v>-77.000000000000014</v>
      </c>
      <c r="E12" s="6">
        <f>-E5*Assumptions!$C$13</f>
        <v>-83.93</v>
      </c>
      <c r="F12" s="6">
        <f>-F5*Assumptions!$C$13</f>
        <v>-90.644400000000019</v>
      </c>
      <c r="G12" s="6">
        <f>-G5*Assumptions!$C$13</f>
        <v>-96.989508000000029</v>
      </c>
      <c r="H12" s="6">
        <f>-H5*Assumptions!$C$13</f>
        <v>-102.80887848000003</v>
      </c>
    </row>
    <row r="13" spans="2:8" ht="15" customHeight="1" x14ac:dyDescent="0.35">
      <c r="B13" t="s">
        <v>38</v>
      </c>
      <c r="C13" s="6">
        <f>-C5*Assumptions!$C$14</f>
        <v>-20</v>
      </c>
      <c r="D13" s="6">
        <f>-D5*Assumptions!$C$14</f>
        <v>-22</v>
      </c>
      <c r="E13" s="6">
        <f>-E5*Assumptions!$C$14</f>
        <v>-23.98</v>
      </c>
      <c r="F13" s="6">
        <f>-F5*Assumptions!$C$14</f>
        <v>-25.898400000000002</v>
      </c>
      <c r="G13" s="6">
        <f>-G5*Assumptions!$C$14</f>
        <v>-27.711288000000003</v>
      </c>
      <c r="H13" s="6">
        <f>-H5*Assumptions!$C$14</f>
        <v>-29.373965280000007</v>
      </c>
    </row>
    <row r="14" spans="2:8" ht="15" customHeight="1" x14ac:dyDescent="0.35">
      <c r="B14" s="15" t="s">
        <v>39</v>
      </c>
      <c r="C14" s="16">
        <f t="shared" ref="C14:H14" si="3">C10+C11+C12+C13</f>
        <v>187.5</v>
      </c>
      <c r="D14" s="16">
        <f t="shared" si="3"/>
        <v>206.25</v>
      </c>
      <c r="E14" s="16">
        <f t="shared" si="3"/>
        <v>224.81249999999997</v>
      </c>
      <c r="F14" s="16">
        <f t="shared" si="3"/>
        <v>242.79749999999993</v>
      </c>
      <c r="G14" s="16">
        <f t="shared" si="3"/>
        <v>259.79332499999992</v>
      </c>
      <c r="H14" s="16">
        <f t="shared" si="3"/>
        <v>275.38092450000005</v>
      </c>
    </row>
    <row r="15" spans="2:8" ht="15" customHeight="1" x14ac:dyDescent="0.35">
      <c r="B15" t="s">
        <v>40</v>
      </c>
      <c r="D15">
        <v>1</v>
      </c>
      <c r="E15">
        <v>2</v>
      </c>
      <c r="F15">
        <v>3</v>
      </c>
      <c r="G15">
        <v>4</v>
      </c>
      <c r="H15">
        <v>5</v>
      </c>
    </row>
    <row r="16" spans="2:8" ht="15" customHeight="1" x14ac:dyDescent="0.35">
      <c r="B16" t="s">
        <v>41</v>
      </c>
      <c r="D16" s="8">
        <f>1/(1+Assumptions!$C$19)^D15</f>
        <v>0.90909090909090906</v>
      </c>
      <c r="E16" s="8">
        <f>1/(1+Assumptions!$C$19)^E15</f>
        <v>0.82644628099173545</v>
      </c>
      <c r="F16" s="8">
        <f>1/(1+Assumptions!$C$19)^F15</f>
        <v>0.75131480090157754</v>
      </c>
      <c r="G16" s="8">
        <f>1/(1+Assumptions!$C$19)^G15</f>
        <v>0.68301345536507052</v>
      </c>
      <c r="H16" s="8">
        <f>1/(1+Assumptions!$C$19)^H15</f>
        <v>0.62092132305915493</v>
      </c>
    </row>
    <row r="17" spans="2:8" ht="15" customHeight="1" x14ac:dyDescent="0.35">
      <c r="B17" t="s">
        <v>42</v>
      </c>
      <c r="D17" s="5">
        <f>D14*D16</f>
        <v>187.5</v>
      </c>
      <c r="E17" s="5">
        <f>E14*E16</f>
        <v>185.7954545454545</v>
      </c>
      <c r="F17" s="5">
        <f>F14*F16</f>
        <v>182.41735537190073</v>
      </c>
      <c r="G17" s="5">
        <f>G14*G16</f>
        <v>177.4423365890307</v>
      </c>
      <c r="H17" s="5">
        <f>H14*H16</f>
        <v>170.98988798579327</v>
      </c>
    </row>
    <row r="20" spans="2:8" ht="17.25" customHeight="1" x14ac:dyDescent="0.4">
      <c r="B20" s="1" t="s">
        <v>43</v>
      </c>
    </row>
    <row r="21" spans="2:8" ht="15" customHeight="1" x14ac:dyDescent="0.35">
      <c r="B21" t="s">
        <v>44</v>
      </c>
      <c r="C21" s="5">
        <f>SUM(D17:H17)</f>
        <v>904.14503449217921</v>
      </c>
    </row>
    <row r="22" spans="2:8" ht="15" customHeight="1" x14ac:dyDescent="0.35">
      <c r="B22" t="s">
        <v>45</v>
      </c>
      <c r="C22" s="5">
        <f>H14*(1+Assumptions!$C$20)/(Assumptions!$C$19-Assumptions!$C$20)</f>
        <v>5782.999414500001</v>
      </c>
    </row>
    <row r="23" spans="2:8" ht="15" customHeight="1" x14ac:dyDescent="0.35">
      <c r="B23" t="s">
        <v>46</v>
      </c>
      <c r="C23" s="5">
        <f>C22*H16</f>
        <v>3590.7876477016589</v>
      </c>
    </row>
    <row r="24" spans="2:8" ht="15" customHeight="1" x14ac:dyDescent="0.35">
      <c r="B24" s="3" t="s">
        <v>47</v>
      </c>
      <c r="C24" s="7">
        <f>C21+C23</f>
        <v>4494.9326821938384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Irfan Sadique</cp:lastModifiedBy>
  <cp:revision>0</cp:revision>
  <dcterms:created xsi:type="dcterms:W3CDTF">2026-07-11T19:01:27Z</dcterms:created>
  <dcterms:modified xsi:type="dcterms:W3CDTF">2026-08-27T19:42:26Z</dcterms:modified>
  <dc:language>en-US</dc:language>
</cp:coreProperties>
</file>